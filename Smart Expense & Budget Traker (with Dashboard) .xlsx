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Expense" sheetId="1" r:id="rId5"/>
    <sheet state="visible" name="Deshboard" sheetId="2" r:id="rId6"/>
  </sheets>
  <definedNames/>
  <calcPr/>
</workbook>
</file>

<file path=xl/sharedStrings.xml><?xml version="1.0" encoding="utf-8"?>
<sst xmlns="http://schemas.openxmlformats.org/spreadsheetml/2006/main" count="40" uniqueCount="31">
  <si>
    <t>Date</t>
  </si>
  <si>
    <t>Category</t>
  </si>
  <si>
    <t>Description</t>
  </si>
  <si>
    <t>Type</t>
  </si>
  <si>
    <t>Amount</t>
  </si>
  <si>
    <t>Salary</t>
  </si>
  <si>
    <t>Monthly Salary</t>
  </si>
  <si>
    <t>Income</t>
  </si>
  <si>
    <t>Rent</t>
  </si>
  <si>
    <t>Apartment Rent</t>
  </si>
  <si>
    <t>Expense</t>
  </si>
  <si>
    <t>Food</t>
  </si>
  <si>
    <t>Grocery Shopping</t>
  </si>
  <si>
    <t>Freelance</t>
  </si>
  <si>
    <t>Logo Design Project</t>
  </si>
  <si>
    <t>Bill</t>
  </si>
  <si>
    <t>Electricity &amp; WiFi</t>
  </si>
  <si>
    <t>Dinner Out</t>
  </si>
  <si>
    <t>Transport</t>
  </si>
  <si>
    <t>Bike Fuel / Uber</t>
  </si>
  <si>
    <t>Shopping</t>
  </si>
  <si>
    <t>New T-shirt</t>
  </si>
  <si>
    <t>15/4/2026</t>
  </si>
  <si>
    <t>Medical</t>
  </si>
  <si>
    <t>Medicine</t>
  </si>
  <si>
    <t>18/4/2026</t>
  </si>
  <si>
    <t>Savings</t>
  </si>
  <si>
    <t>Invest in Gold</t>
  </si>
  <si>
    <t>Total Income</t>
  </si>
  <si>
    <r>
      <rPr>
        <rFont val="Arial"/>
        <color theme="1"/>
        <sz val="14.0"/>
      </rPr>
      <t>Total Expense</t>
    </r>
    <r>
      <rPr>
        <rFont val="Arial"/>
        <color theme="1"/>
      </rPr>
      <t xml:space="preserve"> </t>
    </r>
  </si>
  <si>
    <t xml:space="preserve">Net Balance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</si>
</sst>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</fills>
  <borders count="14">
    <border/>
    <border>
      <left style="thin">
        <color rgb="FF000000"/>
      </left>
      <right style="medium">
        <color rgb="FF434343"/>
      </right>
      <top style="thin">
        <color rgb="FF000000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thin">
        <color rgb="FF000000"/>
      </top>
      <bottom style="medium">
        <color rgb="FF434343"/>
      </bottom>
    </border>
    <border>
      <left style="medium">
        <color rgb="FF434343"/>
      </left>
      <right style="thin">
        <color rgb="FF000000"/>
      </right>
      <top style="thin">
        <color rgb="FF000000"/>
      </top>
      <bottom style="medium">
        <color rgb="FF434343"/>
      </bottom>
    </border>
    <border>
      <left style="thin">
        <color rgb="FF000000"/>
      </left>
      <right style="hair">
        <color rgb="FF434343"/>
      </right>
      <top style="medium">
        <color rgb="FF434343"/>
      </top>
      <bottom style="hair">
        <color rgb="FF434343"/>
      </bottom>
    </border>
    <border>
      <left style="hair">
        <color rgb="FF434343"/>
      </left>
      <right style="hair">
        <color rgb="FF434343"/>
      </right>
      <top style="medium">
        <color rgb="FF434343"/>
      </top>
      <bottom style="hair">
        <color rgb="FF434343"/>
      </bottom>
    </border>
    <border>
      <left style="hair">
        <color rgb="FF434343"/>
      </left>
      <right style="thin">
        <color rgb="FF000000"/>
      </right>
      <top style="medium">
        <color rgb="FF434343"/>
      </top>
      <bottom style="hair">
        <color rgb="FF434343"/>
      </bottom>
    </border>
    <border>
      <left style="thin">
        <color rgb="FF000000"/>
      </left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434343"/>
      </left>
      <right style="thin">
        <color rgb="FF000000"/>
      </right>
      <top style="hair">
        <color rgb="FF434343"/>
      </top>
      <bottom style="hair">
        <color rgb="FF434343"/>
      </bottom>
    </border>
    <border>
      <left style="thin">
        <color rgb="FF000000"/>
      </left>
      <right style="hair">
        <color rgb="FF434343"/>
      </right>
      <top style="hair">
        <color rgb="FF434343"/>
      </top>
      <bottom style="thin">
        <color rgb="FF000000"/>
      </bottom>
    </border>
    <border>
      <left style="hair">
        <color rgb="FF434343"/>
      </left>
      <right style="hair">
        <color rgb="FF434343"/>
      </right>
      <top style="hair">
        <color rgb="FF434343"/>
      </top>
      <bottom style="thin">
        <color rgb="FF000000"/>
      </bottom>
    </border>
    <border>
      <left style="hair">
        <color rgb="FF434343"/>
      </left>
      <right style="thin">
        <color rgb="FF000000"/>
      </right>
      <top style="hair">
        <color rgb="FF43434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0" fontId="2" numFmtId="164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 readingOrder="0"/>
    </xf>
    <xf borderId="7" fillId="0" fontId="2" numFmtId="164" xfId="0" applyAlignment="1" applyBorder="1" applyFont="1" applyNumberFormat="1">
      <alignment horizontal="center" readingOrder="0"/>
    </xf>
    <xf borderId="8" fillId="0" fontId="2" numFmtId="0" xfId="0" applyAlignment="1" applyBorder="1" applyFont="1">
      <alignment horizontal="center" readingOrder="0"/>
    </xf>
    <xf borderId="9" fillId="0" fontId="2" numFmtId="165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0" fontId="2" numFmtId="165" xfId="0" applyAlignment="1" applyBorder="1" applyFont="1" applyNumberFormat="1">
      <alignment horizontal="center" readingOrder="0"/>
    </xf>
    <xf borderId="13" fillId="2" fontId="3" numFmtId="0" xfId="0" applyAlignment="1" applyBorder="1" applyFill="1" applyFont="1">
      <alignment horizontal="center" readingOrder="0" vertical="center"/>
    </xf>
    <xf borderId="13" fillId="2" fontId="3" numFmtId="165" xfId="0" applyAlignment="1" applyBorder="1" applyFont="1" applyNumberFormat="1">
      <alignment horizontal="center" vertical="center"/>
    </xf>
    <xf borderId="13" fillId="3" fontId="2" numFmtId="0" xfId="0" applyAlignment="1" applyBorder="1" applyFill="1" applyFont="1">
      <alignment horizontal="center" readingOrder="0" vertical="center"/>
    </xf>
    <xf borderId="13" fillId="3" fontId="3" numFmtId="165" xfId="0" applyAlignment="1" applyBorder="1" applyFont="1" applyNumberFormat="1">
      <alignment horizontal="center" vertical="center"/>
    </xf>
    <xf borderId="13" fillId="4" fontId="4" numFmtId="0" xfId="0" applyAlignment="1" applyBorder="1" applyFill="1" applyFont="1">
      <alignment horizontal="center" readingOrder="0" vertical="center"/>
    </xf>
    <xf borderId="13" fillId="4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000000"/>
      </font>
      <fill>
        <patternFill patternType="solid">
          <fgColor rgb="FFDD7E6B"/>
          <bgColor rgb="FFDD7E6B"/>
        </patternFill>
      </fill>
      <border/>
    </dxf>
  </dxfs>
  <tableStyles count="1">
    <tableStyle count="3" pivot="0" name="Daily 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3C78D8"/>
                </a:solidFill>
                <a:latin typeface="+mn-lt"/>
              </a:defRPr>
            </a:pPr>
            <a:r>
              <a:rPr b="0">
                <a:solidFill>
                  <a:srgbClr val="3C78D8"/>
                </a:solidFill>
                <a:latin typeface="+mn-lt"/>
              </a:rPr>
              <a:t>Income vs Expense Analysis 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18750000000000006"/>
          <c:y val="0.1254681647940075"/>
          <c:w val="0.9381944444444446"/>
          <c:h val="0.8104868913857676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CC412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Deshboard!$A$1:$A$2</c:f>
            </c:strRef>
          </c:cat>
          <c:val>
            <c:numRef>
              <c:f>Deshboard!$B$1:$B$2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5486400" cy="3390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1" displayName="Table_1" name="Table_1" id="1">
  <tableColumns count="5">
    <tableColumn name="Date" id="1"/>
    <tableColumn name="Category" id="2"/>
    <tableColumn name="Description" id="3"/>
    <tableColumn name="Type" id="4"/>
    <tableColumn name="Amount" id="5"/>
  </tableColumns>
  <tableStyleInfo name="Daily 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</row>
    <row r="2">
      <c r="A2" s="5">
        <v>46026.0</v>
      </c>
      <c r="B2" s="6" t="s">
        <v>5</v>
      </c>
      <c r="C2" s="6" t="s">
        <v>6</v>
      </c>
      <c r="D2" s="6" t="s">
        <v>7</v>
      </c>
      <c r="E2" s="7">
        <v>50000.0</v>
      </c>
      <c r="G2" s="4"/>
      <c r="H2" s="4"/>
    </row>
    <row r="3">
      <c r="A3" s="8">
        <v>46057.0</v>
      </c>
      <c r="B3" s="9" t="s">
        <v>8</v>
      </c>
      <c r="C3" s="9" t="s">
        <v>9</v>
      </c>
      <c r="D3" s="9" t="s">
        <v>10</v>
      </c>
      <c r="E3" s="10">
        <v>15000.0</v>
      </c>
      <c r="G3" s="4"/>
      <c r="H3" s="4"/>
    </row>
    <row r="4">
      <c r="A4" s="8">
        <v>46085.0</v>
      </c>
      <c r="B4" s="9" t="s">
        <v>11</v>
      </c>
      <c r="C4" s="9" t="s">
        <v>12</v>
      </c>
      <c r="D4" s="9" t="s">
        <v>10</v>
      </c>
      <c r="E4" s="10">
        <v>3500.0</v>
      </c>
      <c r="G4" s="4"/>
      <c r="H4" s="4"/>
    </row>
    <row r="5">
      <c r="A5" s="8">
        <v>46146.0</v>
      </c>
      <c r="B5" s="9" t="s">
        <v>13</v>
      </c>
      <c r="C5" s="9" t="s">
        <v>14</v>
      </c>
      <c r="D5" s="9" t="s">
        <v>7</v>
      </c>
      <c r="E5" s="10">
        <v>10000.0</v>
      </c>
      <c r="H5" s="4"/>
    </row>
    <row r="6">
      <c r="A6" s="8">
        <v>46177.0</v>
      </c>
      <c r="B6" s="9" t="s">
        <v>15</v>
      </c>
      <c r="C6" s="9" t="s">
        <v>16</v>
      </c>
      <c r="D6" s="9" t="s">
        <v>10</v>
      </c>
      <c r="E6" s="10">
        <v>2500.0</v>
      </c>
      <c r="H6" s="4"/>
    </row>
    <row r="7">
      <c r="A7" s="8">
        <v>46238.0</v>
      </c>
      <c r="B7" s="9" t="s">
        <v>11</v>
      </c>
      <c r="C7" s="9" t="s">
        <v>17</v>
      </c>
      <c r="D7" s="9" t="s">
        <v>10</v>
      </c>
      <c r="E7" s="10">
        <v>1200.0</v>
      </c>
      <c r="G7" s="4"/>
      <c r="H7" s="4"/>
    </row>
    <row r="8">
      <c r="A8" s="8">
        <v>46299.0</v>
      </c>
      <c r="B8" s="9" t="s">
        <v>18</v>
      </c>
      <c r="C8" s="9" t="s">
        <v>19</v>
      </c>
      <c r="D8" s="9" t="s">
        <v>10</v>
      </c>
      <c r="E8" s="10">
        <v>2000.0</v>
      </c>
    </row>
    <row r="9">
      <c r="A9" s="8">
        <v>46360.0</v>
      </c>
      <c r="B9" s="9" t="s">
        <v>20</v>
      </c>
      <c r="C9" s="9" t="s">
        <v>21</v>
      </c>
      <c r="D9" s="9" t="s">
        <v>10</v>
      </c>
      <c r="E9" s="10">
        <v>1500.0</v>
      </c>
      <c r="G9" s="4"/>
      <c r="H9" s="4"/>
    </row>
    <row r="10">
      <c r="A10" s="11" t="s">
        <v>22</v>
      </c>
      <c r="B10" s="9" t="s">
        <v>23</v>
      </c>
      <c r="C10" s="9" t="s">
        <v>24</v>
      </c>
      <c r="D10" s="9" t="s">
        <v>10</v>
      </c>
      <c r="E10" s="10">
        <v>800.0</v>
      </c>
      <c r="G10" s="4"/>
      <c r="H10" s="4"/>
    </row>
    <row r="11">
      <c r="A11" s="12" t="s">
        <v>25</v>
      </c>
      <c r="B11" s="13" t="s">
        <v>26</v>
      </c>
      <c r="C11" s="13" t="s">
        <v>27</v>
      </c>
      <c r="D11" s="13" t="s">
        <v>10</v>
      </c>
      <c r="E11" s="14">
        <v>5000.0</v>
      </c>
      <c r="H11" s="4"/>
    </row>
  </sheetData>
  <conditionalFormatting sqref="D2:D11">
    <cfRule type="cellIs" dxfId="4" priority="1" operator="equal">
      <formula>"Income"</formula>
    </cfRule>
  </conditionalFormatting>
  <conditionalFormatting sqref="D2:D11">
    <cfRule type="cellIs" dxfId="5" priority="2" operator="equal">
      <formula>"Expense"</formula>
    </cfRule>
  </conditionalFormatting>
  <dataValidations>
    <dataValidation type="list" allowBlank="1" showErrorMessage="1" sqref="B2:B11">
      <formula1>"Bill,Food,Freelance,Medical,Rent,Salary,Savings,Shopping,Transport"</formula1>
    </dataValidation>
    <dataValidation type="list" allowBlank="1" showErrorMessage="1" sqref="D2:D11">
      <formula1>"Expense,Income"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25"/>
    <col customWidth="1" min="2" max="2" width="15.88"/>
    <col customWidth="1" min="5" max="5" width="11.38"/>
    <col customWidth="1" min="6" max="6" width="15.38"/>
  </cols>
  <sheetData>
    <row r="1" ht="31.5" customHeight="1">
      <c r="A1" s="15" t="s">
        <v>28</v>
      </c>
      <c r="B1" s="16">
        <f>SUMIF('Daily Expense'!D:D,"Income",'Daily Expense'!E:E)</f>
        <v>60000</v>
      </c>
    </row>
    <row r="2" ht="31.5" customHeight="1">
      <c r="A2" s="17" t="s">
        <v>29</v>
      </c>
      <c r="B2" s="18">
        <f>SUMIF('Daily Expense'!D:D,"Expense",'Daily Expense'!E:E)</f>
        <v>31500</v>
      </c>
    </row>
    <row r="3" ht="32.25" customHeight="1">
      <c r="A3" s="19" t="s">
        <v>30</v>
      </c>
      <c r="B3" s="20">
        <f>B1 - B2</f>
        <v>28500</v>
      </c>
    </row>
  </sheetData>
  <drawing r:id="rId1"/>
</worksheet>
</file>